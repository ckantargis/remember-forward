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ENSITY" sheetId="2" state="visible" r:id="rId2"/>
    <sheet xmlns:r="http://schemas.openxmlformats.org/officeDocument/2006/relationships" name="LEXICON" sheetId="3" state="visible" r:id="rId3"/>
    <sheet xmlns:r="http://schemas.openxmlformats.org/officeDocument/2006/relationships" name="MEDIA" sheetId="4" state="visible" r:id="rId4"/>
    <sheet xmlns:r="http://schemas.openxmlformats.org/officeDocument/2006/relationships" name="CARD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wrapText="1"/>
    </xf>
    <xf numFmtId="0" fontId="2" fillId="0" borderId="1" pivotButton="0" quotePrefix="0" xfId="0"/>
    <xf numFmtId="0" fontId="2" fillId="5" borderId="1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3" borderId="1" pivotButton="0" quotePrefix="0" xfId="0"/>
    <xf numFmtId="0" fontId="0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66" customWidth="1" min="4" max="4"/>
  </cols>
  <sheetData>
    <row r="1">
      <c r="A1" s="1" t="inlineStr">
        <is>
          <t>REMEMBER FORWARD - LEXICON MODEL  |  yellow cells are inputs, everything else is formula</t>
        </is>
      </c>
      <c r="B1" s="2" t="n"/>
      <c r="C1" s="2" t="n"/>
      <c r="D1" s="2" t="n"/>
    </row>
    <row r="2">
      <c r="A2" s="3" t="inlineStr">
        <is>
          <t>Parameter</t>
        </is>
      </c>
      <c r="B2" s="3" t="inlineStr">
        <is>
          <t>Value</t>
        </is>
      </c>
      <c r="C2" s="3" t="inlineStr">
        <is>
          <t>Unit</t>
        </is>
      </c>
      <c r="D2" s="3" t="inlineStr">
        <is>
          <t>Note</t>
        </is>
      </c>
    </row>
    <row r="3">
      <c r="A3" s="4" t="inlineStr">
        <is>
          <t>LEXICON STRUCTURE</t>
        </is>
      </c>
      <c r="B3" s="5" t="n"/>
      <c r="C3" s="5" t="n"/>
      <c r="D3" s="5" t="n"/>
    </row>
    <row r="4">
      <c r="A4" s="6" t="inlineStr">
        <is>
          <t>Tier 0 - semantic primes</t>
        </is>
      </c>
      <c r="B4" s="7" t="n">
        <v>65</v>
      </c>
      <c r="C4" s="6" t="inlineStr">
        <is>
          <t>words</t>
        </is>
      </c>
      <c r="D4" s="8" t="inlineStr">
        <is>
          <t>NSM primes (Wierzbicka). Fully pictogrammed, issued in every language.</t>
        </is>
      </c>
    </row>
    <row r="5">
      <c r="A5" s="6" t="inlineStr">
        <is>
          <t>Tier 1 - core vocabulary</t>
        </is>
      </c>
      <c r="B5" s="7" t="n">
        <v>935</v>
      </c>
      <c r="C5" s="6" t="inlineStr">
        <is>
          <t>words</t>
        </is>
      </c>
      <c r="D5" s="8" t="inlineStr">
        <is>
          <t>To ~1000 total: Ogden Basic English 850 + Swadesh 207, merged and deduped.</t>
        </is>
      </c>
    </row>
    <row r="6">
      <c r="A6" s="6" t="inlineStr">
        <is>
          <t>Tier 2 - long tail</t>
        </is>
      </c>
      <c r="B6" s="7" t="n">
        <v>4000</v>
      </c>
      <c r="C6" s="6" t="inlineStr">
        <is>
          <t>words</t>
        </is>
      </c>
      <c r="D6" s="8" t="inlineStr">
        <is>
          <t>To 5000 total. Defined strictly in Tier 1 vocabulary.</t>
        </is>
      </c>
    </row>
    <row r="7">
      <c r="A7" s="6" t="inlineStr">
        <is>
          <t>Chars per headword block</t>
        </is>
      </c>
      <c r="B7" s="7" t="n">
        <v>22</v>
      </c>
      <c r="C7" s="6" t="inlineStr">
        <is>
          <t>chars</t>
        </is>
      </c>
      <c r="D7" s="8" t="inlineStr">
        <is>
          <t>Headword + part of speech + the paired second-language headword (Arabic).</t>
        </is>
      </c>
    </row>
    <row r="8">
      <c r="A8" s="6" t="inlineStr">
        <is>
          <t>Chars per definition</t>
        </is>
      </c>
      <c r="B8" s="7" t="n">
        <v>108</v>
      </c>
      <c r="C8" s="6" t="inlineStr">
        <is>
          <t>chars</t>
        </is>
      </c>
      <c r="D8" s="8" t="inlineStr">
        <is>
          <t>~18 words. Restricted-vocabulary definitions run long; a 12-word def would be ~72.</t>
        </is>
      </c>
    </row>
    <row r="9">
      <c r="A9" s="6" t="inlineStr">
        <is>
          <t>Tier 0 pictogram coverage</t>
        </is>
      </c>
      <c r="B9" s="7" t="n">
        <v>1</v>
      </c>
      <c r="C9" s="6" t="inlineStr">
        <is>
          <t>fraction</t>
        </is>
      </c>
      <c r="D9" s="8" t="inlineStr">
        <is>
          <t>Every prime gets a pictogram.</t>
        </is>
      </c>
    </row>
    <row r="10">
      <c r="A10" s="6" t="inlineStr">
        <is>
          <t>Tier 1 pictogram coverage</t>
        </is>
      </c>
      <c r="B10" s="7" t="n">
        <v>0.7</v>
      </c>
      <c r="C10" s="6" t="inlineStr">
        <is>
          <t>fraction</t>
        </is>
      </c>
      <c r="D10" s="8" t="inlineStr">
        <is>
          <t>Most of Basic English is picturable.</t>
        </is>
      </c>
    </row>
    <row r="11">
      <c r="A11" s="6" t="inlineStr">
        <is>
          <t>Tier 2 pictogram coverage</t>
        </is>
      </c>
      <c r="B11" s="7" t="n">
        <v>0.25</v>
      </c>
      <c r="C11" s="6" t="inlineStr">
        <is>
          <t>fraction</t>
        </is>
      </c>
      <c r="D11" s="8" t="inlineStr">
        <is>
          <t>Abstract vocabulary resists depiction - this is the realistic ceiling.</t>
        </is>
      </c>
    </row>
    <row r="12">
      <c r="A12" s="6" t="inlineStr">
        <is>
          <t>Pictogram size (square edge)</t>
        </is>
      </c>
      <c r="B12" s="7" t="n">
        <v>12</v>
      </c>
      <c r="C12" s="6" t="inlineStr">
        <is>
          <t>mm</t>
        </is>
      </c>
      <c r="D12" s="8" t="inlineStr">
        <is>
          <t>12x12mm reads well unaided. Drives total area more than the text does.</t>
        </is>
      </c>
    </row>
    <row r="13">
      <c r="A13" s="6" t="inlineStr">
        <is>
          <t>Layout overhead</t>
        </is>
      </c>
      <c r="B13" s="7" t="n">
        <v>0.4</v>
      </c>
      <c r="C13" s="6" t="inlineStr">
        <is>
          <t>fraction</t>
        </is>
      </c>
      <c r="D13" s="8" t="inlineStr">
        <is>
          <t>Margins, rules, gutters, card edges, index furniture, holes.</t>
        </is>
      </c>
    </row>
    <row r="14">
      <c r="A14" s="4" t="inlineStr">
        <is>
          <t>DENSITY  (anchored on Memory of Mankind published specs)</t>
        </is>
      </c>
      <c r="B14" s="5" t="n"/>
      <c r="C14" s="5" t="n"/>
      <c r="D14" s="5" t="n"/>
    </row>
    <row r="15">
      <c r="A15" s="6" t="inlineStr">
        <is>
          <t>Anchor type size</t>
        </is>
      </c>
      <c r="B15" s="7" t="n">
        <v>4</v>
      </c>
      <c r="C15" s="6" t="inlineStr">
        <is>
          <t>pt</t>
        </is>
      </c>
      <c r="D15" s="8" t="inlineStr">
        <is>
          <t>MOM individual-design spec: text at least 4pt Arial.</t>
        </is>
      </c>
    </row>
    <row r="16">
      <c r="A16" s="6" t="inlineStr">
        <is>
          <t>Anchor density at that size</t>
        </is>
      </c>
      <c r="B16" s="7" t="n">
        <v>1.25</v>
      </c>
      <c r="C16" s="6" t="inlineStr">
        <is>
          <t>chars/mm2</t>
        </is>
      </c>
      <c r="D16" s="8" t="inlineStr">
        <is>
          <t>MOM: 50,000 chars per 20x20cm tablet = 50000/40000.</t>
        </is>
      </c>
    </row>
    <row r="17">
      <c r="A17" s="6" t="inlineStr">
        <is>
          <t>Microfilm density</t>
        </is>
      </c>
      <c r="B17" s="7" t="n">
        <v>125</v>
      </c>
      <c r="C17" s="6" t="inlineStr">
        <is>
          <t>chars/mm2</t>
        </is>
      </c>
      <c r="D17" s="8" t="inlineStr">
        <is>
          <t>MOM ceramic microfilm: 5,000,000 chars per 20x20cm tablet. 5 lines/mm, needs 10x magnifier.</t>
        </is>
      </c>
    </row>
    <row r="18">
      <c r="A18" s="6" t="inlineStr">
        <is>
          <t>UNAIDED tier type size</t>
        </is>
      </c>
      <c r="B18" s="7" t="n">
        <v>8</v>
      </c>
      <c r="C18" s="6" t="inlineStr">
        <is>
          <t>pt</t>
        </is>
      </c>
      <c r="D18" s="8" t="inlineStr">
        <is>
          <t>~2mm cap height. Readable by aging eyes in poor light, no tools.</t>
        </is>
      </c>
    </row>
    <row r="19">
      <c r="A19" s="6" t="inlineStr">
        <is>
          <t>FINE tier type size</t>
        </is>
      </c>
      <c r="B19" s="7" t="n">
        <v>4</v>
      </c>
      <c r="C19" s="6" t="inlineStr">
        <is>
          <t>pt</t>
        </is>
      </c>
      <c r="D19" s="8" t="inlineStr">
        <is>
          <t>Dictionary fine print. Young eye, or a cheap +3 reading lens.</t>
        </is>
      </c>
    </row>
    <row r="20">
      <c r="A20" s="4" t="inlineStr">
        <is>
          <t>PANELS</t>
        </is>
      </c>
      <c r="B20" s="5" t="n"/>
      <c r="C20" s="5" t="n"/>
      <c r="D20" s="5" t="n"/>
    </row>
    <row r="21">
      <c r="A21" s="6" t="inlineStr">
        <is>
          <t>Titanium panel width</t>
        </is>
      </c>
      <c r="B21" s="7" t="n">
        <v>300</v>
      </c>
      <c r="C21" s="6" t="inlineStr">
        <is>
          <t>mm</t>
        </is>
      </c>
      <c r="D21" s="8" t="inlineStr">
        <is>
          <t>Typical PCM panel; 600x300 is a standard tray size.</t>
        </is>
      </c>
    </row>
    <row r="22">
      <c r="A22" s="6" t="inlineStr">
        <is>
          <t>Titanium panel height</t>
        </is>
      </c>
      <c r="B22" s="7" t="n">
        <v>600</v>
      </c>
      <c r="C22" s="6" t="inlineStr">
        <is>
          <t>mm</t>
        </is>
      </c>
      <c r="D22" s="8" t="inlineStr"/>
    </row>
    <row r="23">
      <c r="A23" s="6" t="inlineStr">
        <is>
          <t>Titanium sides used</t>
        </is>
      </c>
      <c r="B23" s="7" t="n">
        <v>2</v>
      </c>
      <c r="C23" s="6" t="inlineStr">
        <is>
          <t>1 or 2</t>
        </is>
      </c>
      <c r="D23" s="8" t="inlineStr">
        <is>
          <t>PCM etches both sides in one pass - use 2.</t>
        </is>
      </c>
    </row>
    <row r="24">
      <c r="A24" s="6" t="inlineStr">
        <is>
          <t>Ceramic tile width</t>
        </is>
      </c>
      <c r="B24" s="7" t="n">
        <v>300</v>
      </c>
      <c r="C24" s="6" t="inlineStr">
        <is>
          <t>mm</t>
        </is>
      </c>
      <c r="D24" s="8" t="inlineStr">
        <is>
          <t>NOT a ceramic limit. 20x20cm is MOM's ARCHIVE format. Large-format stoneware runs to 300x600.</t>
        </is>
      </c>
    </row>
    <row r="25">
      <c r="A25" s="6" t="inlineStr">
        <is>
          <t>Ceramic tile height</t>
        </is>
      </c>
      <c r="B25" s="7" t="n">
        <v>600</v>
      </c>
      <c r="C25" s="6" t="inlineStr">
        <is>
          <t>mm</t>
        </is>
      </c>
      <c r="D25" s="8" t="inlineStr">
        <is>
          <t>Set 200/200 to model MOM archive tablets specifically.</t>
        </is>
      </c>
    </row>
    <row r="26">
      <c r="A26" s="6" t="inlineStr">
        <is>
          <t>Ceramic sides used</t>
        </is>
      </c>
      <c r="B26" s="7" t="n">
        <v>2</v>
      </c>
      <c r="C26" s="6" t="inlineStr">
        <is>
          <t>1 or 2</t>
        </is>
      </c>
      <c r="D26" s="8" t="inlineStr">
        <is>
          <t>MOM print one face because they stack tablets. Edge-set on stilts and you can fire both.</t>
        </is>
      </c>
    </row>
    <row r="27">
      <c r="A27" s="4" t="inlineStr">
        <is>
          <t>COST</t>
        </is>
      </c>
      <c r="B27" s="5" t="n"/>
      <c r="C27" s="5" t="n"/>
      <c r="D27" s="5" t="n"/>
    </row>
    <row r="28">
      <c r="A28" s="6" t="inlineStr">
        <is>
          <t>Titanium thickness</t>
        </is>
      </c>
      <c r="B28" s="7" t="n">
        <v>0.3</v>
      </c>
      <c r="C28" s="6" t="inlineStr">
        <is>
          <t>mm</t>
        </is>
      </c>
      <c r="D28" s="8" t="inlineStr">
        <is>
          <t>0.2-0.5mm for cards. Thicker = stiffer but heavier deck.</t>
        </is>
      </c>
    </row>
    <row r="29">
      <c r="A29" s="6" t="inlineStr">
        <is>
          <t>Titanium Grade 2 price</t>
        </is>
      </c>
      <c r="B29" s="7" t="n">
        <v>40</v>
      </c>
      <c r="C29" s="6" t="inlineStr">
        <is>
          <t>$/kg</t>
        </is>
      </c>
      <c r="D29" s="8" t="inlineStr">
        <is>
          <t>Range $30-50/kg for sheet.</t>
        </is>
      </c>
    </row>
    <row r="30">
      <c r="A30" s="6" t="inlineStr">
        <is>
          <t>Titanium density</t>
        </is>
      </c>
      <c r="B30" s="7" t="n">
        <v>4.51</v>
      </c>
      <c r="C30" s="6" t="inlineStr">
        <is>
          <t>g/cm3</t>
        </is>
      </c>
      <c r="D30" s="8" t="inlineStr">
        <is>
          <t>Grade 2. Fixed physical constant - do not edit.</t>
        </is>
      </c>
    </row>
    <row r="31">
      <c r="A31" s="6" t="inlineStr">
        <is>
          <t>PCM etch cost per panel</t>
        </is>
      </c>
      <c r="B31" s="7" t="n">
        <v>28</v>
      </c>
      <c r="C31" s="6" t="inlineStr">
        <is>
          <t>$/panel</t>
        </is>
      </c>
      <c r="D31" s="8" t="inlineStr">
        <is>
          <t>Qty 100. Ti needs HF/nitric - fewer vendors, 1.5-2.5x stainless. Cost is per AREA, not per mark.</t>
        </is>
      </c>
    </row>
    <row r="32">
      <c r="A32" s="6" t="inlineStr">
        <is>
          <t>PCM phototool per design</t>
        </is>
      </c>
      <c r="B32" s="7" t="n">
        <v>250</v>
      </c>
      <c r="C32" s="6" t="inlineStr">
        <is>
          <t>$/design</t>
        </is>
      </c>
      <c r="D32" s="8" t="inlineStr">
        <is>
          <t>One-time per unique panel artwork.</t>
        </is>
      </c>
    </row>
    <row r="33">
      <c r="A33" s="4" t="inlineStr">
        <is>
          <t>CERAMIC - MAKE IN HOUSE (cost built up from components, not a placeholder)</t>
        </is>
      </c>
      <c r="B33" s="5" t="n"/>
      <c r="C33" s="5" t="n"/>
      <c r="D33" s="5" t="n"/>
    </row>
    <row r="34">
      <c r="A34" s="6" t="inlineStr">
        <is>
          <t>Tile thickness</t>
        </is>
      </c>
      <c r="B34" s="7" t="n">
        <v>6</v>
      </c>
      <c r="C34" s="6" t="inlineStr">
        <is>
          <t>mm</t>
        </is>
      </c>
      <c r="D34" s="8" t="inlineStr">
        <is>
          <t>6mm resists warping at large format. Thicker = heavier, more clay, slower firing.</t>
        </is>
      </c>
    </row>
    <row r="35">
      <c r="A35" s="6" t="inlineStr">
        <is>
          <t>Clay density (fired stoneware)</t>
        </is>
      </c>
      <c r="B35" s="7" t="n">
        <v>2.3</v>
      </c>
      <c r="C35" s="6" t="inlineStr">
        <is>
          <t>g/cm3</t>
        </is>
      </c>
      <c r="D35" s="8" t="inlineStr">
        <is>
          <t>Physical constant - do not edit.</t>
        </is>
      </c>
    </row>
    <row r="36">
      <c r="A36" s="6" t="inlineStr">
        <is>
          <t>Clay price</t>
        </is>
      </c>
      <c r="B36" s="7" t="n">
        <v>1</v>
      </c>
      <c r="C36" s="6" t="inlineStr">
        <is>
          <t>$/kg</t>
        </is>
      </c>
      <c r="D36" s="8" t="inlineStr">
        <is>
          <t>Stoneware body in quantity. Cheap; never the driver.</t>
        </is>
      </c>
    </row>
    <row r="37">
      <c r="A37" s="6" t="inlineStr">
        <is>
          <t>Glaze per tile</t>
        </is>
      </c>
      <c r="B37" s="7" t="n">
        <v>0.3</v>
      </c>
      <c r="C37" s="6" t="inlineStr">
        <is>
          <t>$/tile</t>
        </is>
      </c>
      <c r="D37" s="8" t="inlineStr">
        <is>
          <t>Thin roller coat, MOM style.</t>
        </is>
      </c>
    </row>
    <row r="38">
      <c r="A38" s="6" t="inlineStr">
        <is>
          <t>Kiln energy per firing</t>
        </is>
      </c>
      <c r="B38" s="7" t="n">
        <v>70</v>
      </c>
      <c r="C38" s="6" t="inlineStr">
        <is>
          <t>kWh</t>
        </is>
      </c>
      <c r="D38" s="8" t="inlineStr">
        <is>
          <t>~7 cu ft kiln to cone 6.</t>
        </is>
      </c>
    </row>
    <row r="39">
      <c r="A39" s="6" t="inlineStr">
        <is>
          <t>Electricity</t>
        </is>
      </c>
      <c r="B39" s="7" t="n">
        <v>0.2</v>
      </c>
      <c r="C39" s="6" t="inlineStr">
        <is>
          <t>$/kWh</t>
        </is>
      </c>
      <c r="D39" s="8" t="inlineStr"/>
    </row>
    <row r="40">
      <c r="A40" s="6" t="inlineStr">
        <is>
          <t>Tiles per firing</t>
        </is>
      </c>
      <c r="B40" s="7" t="n">
        <v>30</v>
      </c>
      <c r="C40" s="6" t="inlineStr">
        <is>
          <t>tiles</t>
        </is>
      </c>
      <c r="D40" s="8" t="inlineStr">
        <is>
          <t>Large-format tiles need shelf space; 20x20 tablets would fit far more.</t>
        </is>
      </c>
    </row>
    <row r="41">
      <c r="A41" s="6" t="inlineStr">
        <is>
          <t>Kiln wear multiplier</t>
        </is>
      </c>
      <c r="B41" s="7" t="n">
        <v>2</v>
      </c>
      <c r="C41" s="6" t="inlineStr">
        <is>
          <t>x</t>
        </is>
      </c>
      <c r="D41" s="8" t="inlineStr">
        <is>
          <t>Doubles energy cost to cover elements, furniture, vent, maintenance.</t>
        </is>
      </c>
    </row>
    <row r="42">
      <c r="A42" s="6" t="inlineStr">
        <is>
          <t>Ceramic scrap / breakage</t>
        </is>
      </c>
      <c r="B42" s="7" t="n">
        <v>0.12</v>
      </c>
      <c r="C42" s="6" t="inlineStr">
        <is>
          <t>fraction</t>
        </is>
      </c>
      <c r="D42" s="8" t="inlineStr">
        <is>
          <t>Warping, cracking, glaze faults. Brittle medium - budget for it.</t>
        </is>
      </c>
    </row>
    <row r="43">
      <c r="A43" s="6" t="inlineStr">
        <is>
          <t>Ceramic setup per design</t>
        </is>
      </c>
      <c r="B43" s="7" t="n">
        <v>150</v>
      </c>
      <c r="C43" s="6" t="inlineStr">
        <is>
          <t>$/design</t>
        </is>
      </c>
      <c r="D43" s="8" t="inlineStr">
        <is>
          <t>Decal film or laser file prep.</t>
        </is>
      </c>
    </row>
    <row r="44">
      <c r="A44" s="4" t="inlineStr">
        <is>
          <t>MARKING - the real cost driver</t>
        </is>
      </c>
      <c r="B44" s="5" t="n"/>
      <c r="C44" s="5" t="n"/>
      <c r="D44" s="5" t="n"/>
    </row>
    <row r="45">
      <c r="A45" s="6" t="inlineStr">
        <is>
          <t>Laser marking rate</t>
        </is>
      </c>
      <c r="B45" s="7" t="n">
        <v>50</v>
      </c>
      <c r="C45" s="6" t="inlineStr">
        <is>
          <t>chars/sec</t>
        </is>
      </c>
      <c r="D45" s="8" t="inlineStr">
        <is>
          <t>Galvo fiber laser, quality vector engraving. THIS IS PER-MARK, so it scales with CHARACTER COUNT, not area.</t>
        </is>
      </c>
    </row>
    <row r="46">
      <c r="A46" s="6" t="inlineStr">
        <is>
          <t>Machine + operator rate</t>
        </is>
      </c>
      <c r="B46" s="7" t="n">
        <v>60</v>
      </c>
      <c r="C46" s="6" t="inlineStr">
        <is>
          <t>$/hr</t>
        </is>
      </c>
      <c r="D46" s="8" t="inlineStr">
        <is>
          <t>Loaded shop rate.</t>
        </is>
      </c>
    </row>
    <row r="47">
      <c r="A47" s="6" t="inlineStr">
        <is>
          <t>Ceramic decal print</t>
        </is>
      </c>
      <c r="B47" s="7" t="n">
        <v>45</v>
      </c>
      <c r="C47" s="6" t="inlineStr">
        <is>
          <t>$/m2</t>
        </is>
      </c>
      <c r="D47" s="8" t="inlineStr">
        <is>
          <t>Screen or laser-toner ceramic decal. PER-AREA - detail is free. This is how ceramic gets cheap at volume.</t>
        </is>
      </c>
    </row>
    <row r="48">
      <c r="A48" s="6" t="inlineStr">
        <is>
          <t>Kits in the run</t>
        </is>
      </c>
      <c r="B48" s="7" t="n">
        <v>100</v>
      </c>
      <c r="C48" s="6" t="inlineStr">
        <is>
          <t>kits</t>
        </is>
      </c>
      <c r="D48" s="8" t="inlineStr">
        <is>
          <t>Tooling amortizes over this. Drives $/word more than anything else.</t>
        </is>
      </c>
    </row>
    <row r="49">
      <c r="A49" s="4" t="inlineStr">
        <is>
          <t>CERAMIC - BUY FROM MOM (archival service, NOT a manufacturing cost)</t>
        </is>
      </c>
      <c r="B49" s="5" t="n"/>
      <c r="C49" s="5" t="n"/>
      <c r="D49" s="5" t="n"/>
    </row>
    <row r="50">
      <c r="A50" s="6" t="inlineStr">
        <is>
          <t>EUR to USD</t>
        </is>
      </c>
      <c r="B50" s="7" t="n">
        <v>1.08</v>
      </c>
      <c r="C50" s="6" t="inlineStr">
        <is>
          <t>rate</t>
        </is>
      </c>
      <c r="D50" s="8" t="inlineStr"/>
    </row>
    <row r="51">
      <c r="A51" s="6" t="inlineStr">
        <is>
          <t>MOM 1/1 tablet</t>
        </is>
      </c>
      <c r="B51" s="7" t="n">
        <v>195</v>
      </c>
      <c r="C51" s="6" t="inlineStr">
        <is>
          <t>EUR</t>
        </is>
      </c>
      <c r="D51" s="8" t="inlineStr">
        <is>
          <t>Buys a SLOT IN THE HALLSTATT ARCHIVE + certificate + token. Not a way to source tablets.</t>
        </is>
      </c>
    </row>
    <row r="52">
      <c r="A52" s="6" t="inlineStr">
        <is>
          <t>MOM 1/1 + duplicate</t>
        </is>
      </c>
      <c r="B52" s="7" t="n">
        <v>455</v>
      </c>
      <c r="C52" s="6" t="inlineStr">
        <is>
          <t>EUR</t>
        </is>
      </c>
      <c r="D52" s="8" t="inlineStr">
        <is>
          <t>The interesting one: archived tablet AND a physical duplicate back to you, + token.</t>
        </is>
      </c>
    </row>
    <row r="53">
      <c r="A53" s="6" t="inlineStr">
        <is>
          <t>MOM 1/4 tablet</t>
        </is>
      </c>
      <c r="B53" s="7" t="n">
        <v>78</v>
      </c>
      <c r="C53" s="6" t="inlineStr">
        <is>
          <t>EUR</t>
        </is>
      </c>
      <c r="D53" s="8" t="inlineStr">
        <is>
          <t>Cheapest way in, and it still includes a token.</t>
        </is>
      </c>
    </row>
    <row r="54">
      <c r="A54" s="4" t="inlineStr">
        <is>
          <t>MOM COLLABORATION</t>
        </is>
      </c>
      <c r="B54" s="5" t="n"/>
      <c r="C54" s="5" t="n"/>
      <c r="D54" s="5" t="n"/>
    </row>
    <row r="55">
      <c r="A55" s="6" t="inlineStr">
        <is>
          <t>MOM tokens per capsule</t>
        </is>
      </c>
      <c r="B55" s="7" t="n">
        <v>2</v>
      </c>
      <c r="C55" s="6" t="inlineStr">
        <is>
          <t>tokens</t>
        </is>
      </c>
      <c r="D55" s="8" t="inlineStr">
        <is>
          <t>One extractable and carryable, one stays with the capsule.</t>
        </is>
      </c>
    </row>
    <row r="56">
      <c r="A56" s="6" t="inlineStr">
        <is>
          <t>Token cost</t>
        </is>
      </c>
      <c r="B56" s="7" t="n">
        <v>25</v>
      </c>
      <c r="C56" s="6" t="inlineStr">
        <is>
          <t>$/token</t>
        </is>
      </c>
      <c r="D56" s="8" t="inlineStr">
        <is>
          <t>PLACEHOLDER - ask Kunze about bulk supply.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16" customWidth="1" min="5" max="5"/>
    <col width="56" customWidth="1" min="6" max="6"/>
  </cols>
  <sheetData>
    <row r="1">
      <c r="A1" s="1" t="inlineStr">
        <is>
          <t>CHARACTER DENSITY vs TYPE SIZE   (area scales as pt^2, calibrated to the MOM anchor)</t>
        </is>
      </c>
      <c r="B1" s="2" t="n"/>
      <c r="C1" s="2" t="n"/>
      <c r="D1" s="2" t="n"/>
      <c r="E1" s="2" t="n"/>
      <c r="F1" s="2" t="n"/>
    </row>
    <row r="2">
      <c r="A2" s="3" t="inlineStr">
        <is>
          <t>Mode</t>
        </is>
      </c>
      <c r="B2" s="3" t="inlineStr">
        <is>
          <t>Type size (pt)</t>
        </is>
      </c>
      <c r="C2" s="3" t="inlineStr">
        <is>
          <t>Cap height (mm)</t>
        </is>
      </c>
      <c r="D2" s="3" t="inlineStr">
        <is>
          <t>Chars / mm2</t>
        </is>
      </c>
      <c r="E2" s="3" t="inlineStr">
        <is>
          <t>mm2 / char</t>
        </is>
      </c>
      <c r="F2" s="3" t="inlineStr">
        <is>
          <t>Reality check</t>
        </is>
      </c>
    </row>
    <row r="3">
      <c r="A3" s="6" t="inlineStr">
        <is>
          <t>Large / Tier 0 display</t>
        </is>
      </c>
      <c r="B3" s="6" t="n">
        <v>12</v>
      </c>
      <c r="C3" s="6">
        <f>ROUND(B3*0.3528*0.7,2)</f>
        <v/>
      </c>
      <c r="D3" s="9">
        <f>ROUND(INPUTS!$B$16*(INPUTS!$B$15/B3)^2,3)</f>
        <v/>
      </c>
      <c r="E3" s="6">
        <f>ROUND(1/D3,3)</f>
        <v/>
      </c>
      <c r="F3" s="8" t="inlineStr">
        <is>
          <t>Headline scale. Used for primes and card titles.</t>
        </is>
      </c>
    </row>
    <row r="4">
      <c r="A4" s="6" t="inlineStr">
        <is>
          <t>Unaided (poor light, old eyes)</t>
        </is>
      </c>
      <c r="B4" s="6">
        <f>INPUTS!$B$18</f>
        <v/>
      </c>
      <c r="C4" s="6">
        <f>ROUND(B4*0.3528*0.7,2)</f>
        <v/>
      </c>
      <c r="D4" s="9">
        <f>ROUND(INPUTS!$B$16*(INPUTS!$B$15/B4)^2,3)</f>
        <v/>
      </c>
      <c r="E4" s="6">
        <f>ROUND(1/D4,3)</f>
        <v/>
      </c>
      <c r="F4" s="8" t="inlineStr">
        <is>
          <t>The floor for 'no tools required'. ~2mm cap height.</t>
        </is>
      </c>
    </row>
    <row r="5">
      <c r="A5" s="6" t="inlineStr">
        <is>
          <t>Compact unaided</t>
        </is>
      </c>
      <c r="B5" s="6" t="n">
        <v>6</v>
      </c>
      <c r="C5" s="6">
        <f>ROUND(B5*0.3528*0.7,2)</f>
        <v/>
      </c>
      <c r="D5" s="9">
        <f>ROUND(INPUTS!$B$16*(INPUTS!$B$15/B5)^2,3)</f>
        <v/>
      </c>
      <c r="E5" s="6">
        <f>ROUND(1/D5,3)</f>
        <v/>
      </c>
      <c r="F5" s="8" t="inlineStr">
        <is>
          <t>Newspaper body text. Most adults, decent light.</t>
        </is>
      </c>
    </row>
    <row r="6">
      <c r="A6" s="6" t="inlineStr">
        <is>
          <t>Fine / MOM standard</t>
        </is>
      </c>
      <c r="B6" s="6">
        <f>INPUTS!$B$19</f>
        <v/>
      </c>
      <c r="C6" s="6">
        <f>ROUND(B6*0.3528*0.7,2)</f>
        <v/>
      </c>
      <c r="D6" s="9">
        <f>ROUND(INPUTS!$B$16*(INPUTS!$B$15/B6)^2,3)</f>
        <v/>
      </c>
      <c r="E6" s="6">
        <f>ROUND(1/D6,3)</f>
        <v/>
      </c>
      <c r="F6" s="8" t="inlineStr">
        <is>
          <t>MOM's own minimum for direct-read tablets. 50,000 chars per 20x20cm.</t>
        </is>
      </c>
    </row>
    <row r="7">
      <c r="A7" s="6" t="inlineStr">
        <is>
          <t>Very fine (Ti PCM limit)</t>
        </is>
      </c>
      <c r="B7" s="6" t="n">
        <v>2</v>
      </c>
      <c r="C7" s="6">
        <f>ROUND(B7*0.3528*0.7,2)</f>
        <v/>
      </c>
      <c r="D7" s="9">
        <f>ROUND(INPUTS!$B$16*(INPUTS!$B$15/B7)^2,3)</f>
        <v/>
      </c>
      <c r="E7" s="6">
        <f>ROUND(1/D7,3)</f>
        <v/>
      </c>
      <c r="F7" s="8" t="inlineStr">
        <is>
          <t>PCM min feature 0.1mm allows this. Needs a lens.</t>
        </is>
      </c>
    </row>
    <row r="8">
      <c r="A8" s="9" t="inlineStr">
        <is>
          <t>CERAMIC MICROFILM</t>
        </is>
      </c>
      <c r="B8" s="6" t="inlineStr">
        <is>
          <t>~0.5</t>
        </is>
      </c>
      <c r="C8" s="6" t="inlineStr">
        <is>
          <t>5 lines/mm</t>
        </is>
      </c>
      <c r="D8" s="10">
        <f>INPUTS!$B$17</f>
        <v/>
      </c>
      <c r="E8" s="6">
        <f>ROUND(1/D8,4)</f>
        <v/>
      </c>
      <c r="F8" s="8" t="inlineStr">
        <is>
          <t>MOM ceramic microfilm. 5,000,000 chars per 20x20cm tablet. REQUIRES a 10x magnifier - hard dependency, see NOTES.</t>
        </is>
      </c>
    </row>
    <row r="10">
      <c r="A10" s="11" t="inlineStr">
        <is>
          <t>Density gap between FINE and MICROFILM is ~100x. That gap is the whole ceramic argument.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4" customWidth="1" min="4" max="4"/>
    <col width="18" customWidth="1" min="5" max="5"/>
    <col width="18" customWidth="1" min="6" max="6"/>
    <col width="16" customWidth="1" min="7" max="7"/>
    <col width="14" customWidth="1" min="8" max="8"/>
  </cols>
  <sheetData>
    <row r="1">
      <c r="A1" s="1" t="inlineStr">
        <is>
          <t>LEXICON CONTENT -&gt; AREA REQUIRED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Tier</t>
        </is>
      </c>
      <c r="B2" s="3" t="inlineStr">
        <is>
          <t>Words</t>
        </is>
      </c>
      <c r="C2" s="3" t="inlineStr">
        <is>
          <t>Chars/entry</t>
        </is>
      </c>
      <c r="D2" s="3" t="inlineStr">
        <is>
          <t>Total chars</t>
        </is>
      </c>
      <c r="E2" s="3" t="inlineStr">
        <is>
          <t>Text area @UNAIDED (mm2)</t>
        </is>
      </c>
      <c r="F2" s="3" t="inlineStr">
        <is>
          <t>Text area @FINE (mm2)</t>
        </is>
      </c>
      <c r="G2" s="3" t="inlineStr">
        <is>
          <t>Pictogram area (mm2)</t>
        </is>
      </c>
      <c r="H2" s="3" t="inlineStr">
        <is>
          <t>Pictograms</t>
        </is>
      </c>
    </row>
    <row r="3">
      <c r="A3" s="6" t="inlineStr">
        <is>
          <t>Tier 0 - primes</t>
        </is>
      </c>
      <c r="B3" s="6">
        <f>INPUTS!$B$4</f>
        <v/>
      </c>
      <c r="C3" s="6">
        <f>INPUTS!$B$7+INPUTS!$B$8</f>
        <v/>
      </c>
      <c r="D3" s="6">
        <f>B3*C3</f>
        <v/>
      </c>
      <c r="E3" s="6">
        <f>D3*DENSITY!$E$4</f>
        <v/>
      </c>
      <c r="F3" s="6">
        <f>D3*DENSITY!$E$6</f>
        <v/>
      </c>
      <c r="G3" s="6">
        <f>H3*INPUTS!$B$12^2</f>
        <v/>
      </c>
      <c r="H3" s="6">
        <f>ROUND(B3*INPUTS!$B$9,0)</f>
        <v/>
      </c>
    </row>
    <row r="4">
      <c r="A4" s="6" t="inlineStr">
        <is>
          <t>Tier 1 - core</t>
        </is>
      </c>
      <c r="B4" s="6">
        <f>INPUTS!$B$5</f>
        <v/>
      </c>
      <c r="C4" s="6">
        <f>INPUTS!$B$7+INPUTS!$B$8</f>
        <v/>
      </c>
      <c r="D4" s="6">
        <f>B4*C4</f>
        <v/>
      </c>
      <c r="E4" s="6">
        <f>D4*DENSITY!$E$4</f>
        <v/>
      </c>
      <c r="F4" s="6">
        <f>D4*DENSITY!$E$6</f>
        <v/>
      </c>
      <c r="G4" s="6">
        <f>H4*INPUTS!$B$12^2</f>
        <v/>
      </c>
      <c r="H4" s="6">
        <f>ROUND(B4*INPUTS!$B$10,0)</f>
        <v/>
      </c>
    </row>
    <row r="5">
      <c r="A5" s="6" t="inlineStr">
        <is>
          <t>Tier 2 - long tail</t>
        </is>
      </c>
      <c r="B5" s="6">
        <f>INPUTS!$B$6</f>
        <v/>
      </c>
      <c r="C5" s="6">
        <f>INPUTS!$B$7+INPUTS!$B$8</f>
        <v/>
      </c>
      <c r="D5" s="6">
        <f>B5*C5</f>
        <v/>
      </c>
      <c r="E5" s="6">
        <f>D5*DENSITY!$E$4</f>
        <v/>
      </c>
      <c r="F5" s="6">
        <f>D5*DENSITY!$E$6</f>
        <v/>
      </c>
      <c r="G5" s="6">
        <f>H5*INPUTS!$B$12^2</f>
        <v/>
      </c>
      <c r="H5" s="6">
        <f>ROUND(B5*INPUTS!$B$11,0)</f>
        <v/>
      </c>
    </row>
    <row r="6">
      <c r="A6" s="12" t="inlineStr">
        <is>
          <t>TOTAL</t>
        </is>
      </c>
      <c r="B6" s="13">
        <f>SUM(B3:B5)</f>
        <v/>
      </c>
      <c r="D6" s="13">
        <f>SUM(D3:D5)</f>
        <v/>
      </c>
      <c r="E6" s="13">
        <f>SUM(E3:E5)</f>
        <v/>
      </c>
      <c r="F6" s="13">
        <f>SUM(F3:F5)</f>
        <v/>
      </c>
      <c r="G6" s="13">
        <f>SUM(G3:G5)</f>
        <v/>
      </c>
      <c r="H6" s="13">
        <f>SUM(H3:H5)</f>
        <v/>
      </c>
    </row>
    <row r="8">
      <c r="A8" s="12" t="inlineStr">
        <is>
          <t>AREA ROLL-UP (includes overhead)</t>
        </is>
      </c>
    </row>
    <row r="9">
      <c r="A9" s="3" t="inlineStr">
        <is>
          <t>Build</t>
        </is>
      </c>
      <c r="B9" s="3" t="inlineStr">
        <is>
          <t>Raw area mm2</t>
        </is>
      </c>
      <c r="C9" s="3" t="inlineStr">
        <is>
          <t>With overhead mm2</t>
        </is>
      </c>
      <c r="D9" s="3" t="inlineStr">
        <is>
          <t>m2</t>
        </is>
      </c>
      <c r="E9" s="3" t="inlineStr"/>
      <c r="F9" s="3" t="inlineStr"/>
      <c r="G9" s="3" t="inlineStr"/>
      <c r="H9" s="3" t="inlineStr"/>
    </row>
    <row r="10">
      <c r="A10" s="6" t="inlineStr">
        <is>
          <t>UNAIDED everywhere</t>
        </is>
      </c>
      <c r="B10" s="6">
        <f>E6+G6</f>
        <v/>
      </c>
      <c r="C10" s="6">
        <f>B10*(1+INPUTS!$B$13)</f>
        <v/>
      </c>
      <c r="D10" s="6">
        <f>ROUND(C10/1000000,3)</f>
        <v/>
      </c>
    </row>
    <row r="11">
      <c r="A11" s="6" t="inlineStr">
        <is>
          <t>FINE text + pictograms</t>
        </is>
      </c>
      <c r="B11" s="6">
        <f>F6+G6</f>
        <v/>
      </c>
      <c r="C11" s="6">
        <f>B11*(1+INPUTS!$B$13)</f>
        <v/>
      </c>
      <c r="D11" s="6">
        <f>ROUND(C11/1000000,3)</f>
        <v/>
      </c>
    </row>
    <row r="12">
      <c r="A12" s="14" t="inlineStr">
        <is>
          <t>MICROFILM text only</t>
        </is>
      </c>
      <c r="B12" s="14">
        <f>D6*DENSITY!$E$8</f>
        <v/>
      </c>
      <c r="C12" s="14">
        <f>B12*(1+INPUTS!$B$13)</f>
        <v/>
      </c>
      <c r="D12" s="14">
        <f>ROUND(C12/1000000,4)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1" customWidth="1" min="4" max="4"/>
    <col width="12" customWidth="1" min="5" max="5"/>
    <col width="12" customWidth="1" min="6" max="6"/>
    <col width="13" customWidth="1" min="7" max="7"/>
    <col width="13" customWidth="1" min="8" max="8"/>
    <col width="40" customWidth="1" min="9" max="9"/>
  </cols>
  <sheetData>
    <row r="1">
      <c r="A1" s="1" t="inlineStr">
        <is>
          <t>MEDIA COMPARISON - substrate cost and marking cost kept SEPARATE, because they scale differently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15" t="inlineStr">
        <is>
          <t>KEY: substrate cost scales with AREA. Marking cost scales with AREA (etch/decal) or CHARACTER COUNT (laser). That difference, not the material, is what decides the price.</t>
        </is>
      </c>
    </row>
    <row r="5">
      <c r="A5" s="3" t="inlineStr">
        <is>
          <t>Build</t>
        </is>
      </c>
      <c r="B5" s="3" t="inlineStr">
        <is>
          <t>Area (m2)</t>
        </is>
      </c>
      <c r="C5" s="3" t="inlineStr">
        <is>
          <t>Usable/sheet (mm2)</t>
        </is>
      </c>
      <c r="D5" s="3" t="inlineStr">
        <is>
          <t>Sheets</t>
        </is>
      </c>
      <c r="E5" s="3" t="inlineStr">
        <is>
          <t>Substrate $</t>
        </is>
      </c>
      <c r="F5" s="3" t="inlineStr">
        <is>
          <t>Marking $</t>
        </is>
      </c>
      <c r="G5" s="3" t="inlineStr">
        <is>
          <t>Tooling $</t>
        </is>
      </c>
      <c r="H5" s="3" t="inlineStr">
        <is>
          <t>TOTAL $/set</t>
        </is>
      </c>
      <c r="I5" s="3" t="inlineStr">
        <is>
          <t>Note</t>
        </is>
      </c>
    </row>
    <row r="6">
      <c r="A6" s="6" t="inlineStr">
        <is>
          <t>TITANIUM PCM - unaided 8pt</t>
        </is>
      </c>
      <c r="B6" s="6">
        <f>LEXICON!D10</f>
        <v/>
      </c>
      <c r="C6" s="6">
        <f>INPUTS!$B$21*INPUTS!$B$22*INPUTS!$B$23</f>
        <v/>
      </c>
      <c r="D6" s="9">
        <f>ROUNDUP(B6*1000000/C6,0)</f>
        <v/>
      </c>
      <c r="E6" s="6">
        <f>ROUND(D6*(INPUTS!$B$21*INPUTS!$B$22*INPUTS!$B$28/1000*INPUTS!$B$30/1000*INPUTS!$B$29),2)</f>
        <v/>
      </c>
      <c r="F6" s="6">
        <f>ROUND(D6*INPUTS!$B$31,2)</f>
        <v/>
      </c>
      <c r="G6" s="6">
        <f>ROUND(D6*INPUTS!$B$32/INPUTS!$B$48,2)</f>
        <v/>
      </c>
      <c r="H6" s="9">
        <f>ROUND(E6+F6+G6,2)</f>
        <v/>
      </c>
      <c r="I6" s="8" t="inlineStr">
        <is>
          <t>No tools needed anywhere. Most robust, most panels.</t>
        </is>
      </c>
    </row>
    <row r="7">
      <c r="A7" s="14" t="inlineStr">
        <is>
          <t>TITANIUM PCM - fine 4pt</t>
        </is>
      </c>
      <c r="B7" s="6">
        <f>LEXICON!D11</f>
        <v/>
      </c>
      <c r="C7" s="6">
        <f>INPUTS!$B$21*INPUTS!$B$22*INPUTS!$B$23</f>
        <v/>
      </c>
      <c r="D7" s="10">
        <f>ROUNDUP(B7*1000000/C7,0)</f>
        <v/>
      </c>
      <c r="E7" s="6">
        <f>ROUND(D7*(INPUTS!$B$21*INPUTS!$B$22*INPUTS!$B$28/1000*INPUTS!$B$30/1000*INPUTS!$B$29),2)</f>
        <v/>
      </c>
      <c r="F7" s="6">
        <f>ROUND(D7*INPUTS!$B$31,2)</f>
        <v/>
      </c>
      <c r="G7" s="6">
        <f>ROUND(D7*INPUTS!$B$32/INPUTS!$B$48,2)</f>
        <v/>
      </c>
      <c r="H7" s="10">
        <f>ROUND(E7+F7+G7,2)</f>
        <v/>
      </c>
      <c r="I7" s="8" t="inlineStr">
        <is>
          <t>PCM min feature 0.1mm, so 4pt is easy. NO LASER AT ALL - the whole panel etches at once in a bath. This is why titanium is cheap: marking is per-area.</t>
        </is>
      </c>
    </row>
    <row r="8">
      <c r="A8" s="14" t="inlineStr">
        <is>
          <t>CERAMIC + DECAL - fine 4pt</t>
        </is>
      </c>
      <c r="B8" s="6">
        <f>LEXICON!D11</f>
        <v/>
      </c>
      <c r="C8" s="6">
        <f>INPUTS!$B$24*INPUTS!$B$25*INPUTS!$B$26</f>
        <v/>
      </c>
      <c r="D8" s="10">
        <f>ROUNDUP(B8*1000000/C8,0)</f>
        <v/>
      </c>
      <c r="E8" s="6">
        <f>ROUND(D8*((INPUTS!$B$24*INPUTS!$B$25*INPUTS!$B$34/1000*INPUTS!$B$35/1000*INPUTS!$B$36+INPUTS!$B$37)*(1+INPUTS!$B$42)+(INPUTS!$B$38*INPUTS!$B$39/INPUTS!$B$40*INPUTS!$B$41)),2)</f>
        <v/>
      </c>
      <c r="F8" s="6">
        <f>ROUND(B8*INPUTS!$B$47,2)</f>
        <v/>
      </c>
      <c r="G8" s="6">
        <f>ROUND(D8*INPUTS!$B$43/INPUTS!$B$48,2)</f>
        <v/>
      </c>
      <c r="H8" s="10">
        <f>ROUND(E8+F8+G8,2)</f>
        <v/>
      </c>
      <c r="I8" s="8" t="inlineStr">
        <is>
          <t>Screen / laser-toner ceramic decal, then fire. PER-AREA like PCM. 300dpi COLOUR, which titanium cannot do. This is the ceramic build for any real quantity.</t>
        </is>
      </c>
    </row>
    <row r="9">
      <c r="A9" s="6" t="inlineStr">
        <is>
          <t>CERAMIC + LASER - fine 4pt</t>
        </is>
      </c>
      <c r="B9" s="6">
        <f>LEXICON!D11</f>
        <v/>
      </c>
      <c r="C9" s="6">
        <f>INPUTS!$B$24*INPUTS!$B$25*INPUTS!$B$26</f>
        <v/>
      </c>
      <c r="D9" s="9">
        <f>ROUNDUP(B9*1000000/C9,0)</f>
        <v/>
      </c>
      <c r="E9" s="6">
        <f>ROUND(D9*((INPUTS!$B$24*INPUTS!$B$25*INPUTS!$B$34/1000*INPUTS!$B$35/1000*INPUTS!$B$36+INPUTS!$B$37)*(1+INPUTS!$B$42)+(INPUTS!$B$38*INPUTS!$B$39/INPUTS!$B$40*INPUTS!$B$41)),2)</f>
        <v/>
      </c>
      <c r="F9" s="6">
        <f>ROUND((LEXICON!D6/INPUTS!$B$45/3600*INPUTS!$B$46),2)</f>
        <v/>
      </c>
      <c r="G9" s="6">
        <f>ROUND(D9*INPUTS!$B$43/INPUTS!$B$48,2)</f>
        <v/>
      </c>
      <c r="H9" s="9">
        <f>ROUND(E9+F9+G9,2)</f>
        <v/>
      </c>
      <c r="I9" s="8" t="inlineStr">
        <is>
          <t>MOM's own method (engrave, then roller-glaze). Marking is PER-MARK: see MARKING TIME below. Fine for one-offs, brutal at qty 100.</t>
        </is>
      </c>
    </row>
    <row r="10">
      <c r="A10" s="6" t="inlineStr">
        <is>
          <t>CERAMIC MICROFILM + LASER</t>
        </is>
      </c>
      <c r="B10" s="6">
        <f>LEXICON!D12</f>
        <v/>
      </c>
      <c r="C10" s="6">
        <f>INPUTS!$B$24*INPUTS!$B$25*INPUTS!$B$26</f>
        <v/>
      </c>
      <c r="D10" s="9">
        <f>ROUNDUP(B10*1000000/C10,0)</f>
        <v/>
      </c>
      <c r="E10" s="6">
        <f>ROUND(D10*((INPUTS!$B$24*INPUTS!$B$25*INPUTS!$B$34/1000*INPUTS!$B$35/1000*INPUTS!$B$36+INPUTS!$B$37)*(1+INPUTS!$B$42)+(INPUTS!$B$38*INPUTS!$B$39/INPUTS!$B$40*INPUTS!$B$41)),2)</f>
        <v/>
      </c>
      <c r="F10" s="6">
        <f>ROUND((LEXICON!D6/INPUTS!$B$45/3600*INPUTS!$B$46),2)</f>
        <v/>
      </c>
      <c r="G10" s="6">
        <f>ROUND(D10*INPUTS!$B$43/INPUTS!$B$48,2)</f>
        <v/>
      </c>
      <c r="H10" s="9">
        <f>ROUND(E10+F10+G10,2)</f>
        <v/>
      </c>
      <c r="I10" s="8" t="inlineStr">
        <is>
          <t>Substrate cost collapses to almost nothing - but marking does NOT, because laser time tracks character count, not area. Microfilm saves material, never machine time.</t>
        </is>
      </c>
    </row>
    <row r="12">
      <c r="A12" s="12" t="inlineStr">
        <is>
          <t>MARKING TIME (laser paths only) - the number that actually decides buy vs build</t>
        </is>
      </c>
    </row>
    <row r="13">
      <c r="A13" s="3" t="inlineStr">
        <is>
          <t>Metric</t>
        </is>
      </c>
      <c r="B13" s="3" t="inlineStr">
        <is>
          <t>Value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4">
      <c r="A14" s="6" t="inlineStr">
        <is>
          <t>Characters in the lexicon</t>
        </is>
      </c>
      <c r="B14" s="9">
        <f>LEXICON!D6</f>
        <v/>
      </c>
    </row>
    <row r="15">
      <c r="A15" s="6" t="inlineStr">
        <is>
          <t>Laser hours per SET</t>
        </is>
      </c>
      <c r="B15" s="9">
        <f>ROUND(LEXICON!D6/INPUTS!$B$45/3600,2)</f>
        <v/>
      </c>
    </row>
    <row r="16">
      <c r="A16" s="6" t="inlineStr">
        <is>
          <t>Laser hours for the whole RUN</t>
        </is>
      </c>
      <c r="B16" s="9">
        <f>ROUND(LEXICON!D6/INPUTS!$B$45/3600*INPUTS!$B$48,0)</f>
        <v/>
      </c>
    </row>
    <row r="17">
      <c r="A17" s="6" t="inlineStr">
        <is>
          <t>Laser $ per set</t>
        </is>
      </c>
      <c r="B17" s="9">
        <f>ROUND((LEXICON!D6/INPUTS!$B$45/3600*INPUTS!$B$46),2)</f>
        <v/>
      </c>
    </row>
    <row r="18">
      <c r="A18" s="11" t="inlineStr">
        <is>
          <t>MOM absorb this only because Workshop of Photonics built them a purpose-made laser system, and because they make ONE-OFF tablets, not runs of 100.</t>
        </is>
      </c>
    </row>
    <row r="20">
      <c r="A20" s="12" t="inlineStr">
        <is>
          <t>COST PER WORD</t>
        </is>
      </c>
    </row>
    <row r="21">
      <c r="A21" s="3" t="inlineStr">
        <is>
          <t>Build</t>
        </is>
      </c>
      <c r="B21" s="3" t="inlineStr">
        <is>
          <t>$ / word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2">
      <c r="A22" s="6" t="inlineStr">
        <is>
          <t>Titanium PCM fine</t>
        </is>
      </c>
      <c r="B22" s="6">
        <f>ROUND(H7/LEXICON!B6,4)</f>
        <v/>
      </c>
    </row>
    <row r="23">
      <c r="A23" s="6" t="inlineStr">
        <is>
          <t>Ceramic + decal fine</t>
        </is>
      </c>
      <c r="B23" s="6">
        <f>ROUND(H8/LEXICON!B6,4)</f>
        <v/>
      </c>
    </row>
    <row r="24">
      <c r="A24" s="6" t="inlineStr">
        <is>
          <t>Ceramic + laser fine</t>
        </is>
      </c>
      <c r="B24" s="6">
        <f>ROUND(H9/LEXICON!B6,4)</f>
        <v/>
      </c>
    </row>
    <row r="25">
      <c r="A25" s="6" t="inlineStr">
        <is>
          <t>Ceramic microfilm + laser</t>
        </is>
      </c>
      <c r="B25" s="6">
        <f>ROUND(H10/LEXICON!B6,4)</f>
        <v/>
      </c>
    </row>
    <row r="27">
      <c r="A27" s="12" t="inlineStr">
        <is>
          <t>BUYING FROM MOM - an archival SERVICE, not a way to source tablets</t>
        </is>
      </c>
    </row>
    <row r="28">
      <c r="A28" s="3" t="inlineStr">
        <is>
          <t>Product</t>
        </is>
      </c>
      <c r="B28" s="3" t="inlineStr">
        <is>
          <t>EUR</t>
        </is>
      </c>
      <c r="C28" s="3" t="inlineStr">
        <is>
          <t>USD</t>
        </is>
      </c>
      <c r="D28" s="3" t="inlineStr">
        <is>
          <t>What it actually buys</t>
        </is>
      </c>
      <c r="E28" s="3" t="inlineStr"/>
      <c r="F28" s="3" t="inlineStr"/>
      <c r="G28" s="3" t="inlineStr"/>
      <c r="H28" s="3" t="inlineStr"/>
      <c r="I28" s="3" t="inlineStr"/>
    </row>
    <row r="29">
      <c r="A29" s="6" t="inlineStr">
        <is>
          <t>MOM 1/4 tablet</t>
        </is>
      </c>
      <c r="B29" s="6">
        <f>INPUTS!$B$53</f>
        <v/>
      </c>
      <c r="C29" s="6">
        <f>ROUND(INPUTS!$B$53*INPUTS!$B$50,2)</f>
        <v/>
      </c>
      <c r="D29" s="8" t="inlineStr">
        <is>
          <t>Cheapest entry. Slot in the Hallstatt salt mine + certificate + TOKEN.</t>
        </is>
      </c>
    </row>
    <row r="30">
      <c r="A30" s="6" t="inlineStr">
        <is>
          <t>MOM 1/1 tablet</t>
        </is>
      </c>
      <c r="B30" s="6">
        <f>INPUTS!$B$51</f>
        <v/>
      </c>
      <c r="C30" s="6">
        <f>ROUND(INPUTS!$B$51*INPUTS!$B$50,2)</f>
        <v/>
      </c>
      <c r="D30" s="8" t="inlineStr">
        <is>
          <t>Full tablet archived at Hallstatt + certificate + token.</t>
        </is>
      </c>
    </row>
    <row r="31">
      <c r="A31" s="6" t="inlineStr">
        <is>
          <t>MOM 1/1 + duplicate</t>
        </is>
      </c>
      <c r="B31" s="6">
        <f>INPUTS!$B$52</f>
        <v/>
      </c>
      <c r="C31" s="6">
        <f>ROUND(INPUTS!$B$52*INPUTS!$B$50,2)</f>
        <v/>
      </c>
      <c r="D31" s="8" t="inlineStr">
        <is>
          <t>THE ONE TO WANT: archived at Hallstatt AND a physical duplicate mailed back for your own capsule. Pointer runs both directions.</t>
        </is>
      </c>
    </row>
    <row r="32">
      <c r="A32" s="11" t="inlineStr">
        <is>
          <t>You buy 1-2 of these as a COLLABORATION. You never buy 27 to source substrate - that would be paying MOM to archive 27 tablets in Austria, which is not the goal.</t>
        </is>
      </c>
    </row>
    <row r="33">
      <c r="A33" s="12" t="inlineStr">
        <is>
          <t>RECOMMENDED BUILD - all three layers, deliberately</t>
        </is>
      </c>
    </row>
    <row r="34">
      <c r="A34" s="3" t="inlineStr">
        <is>
          <t>Layer</t>
        </is>
      </c>
      <c r="B34" s="3" t="inlineStr">
        <is>
          <t>Medium</t>
        </is>
      </c>
      <c r="C34" s="3" t="inlineStr">
        <is>
          <t>Sheets</t>
        </is>
      </c>
      <c r="D34" s="3" t="inlineStr"/>
      <c r="E34" s="3" t="inlineStr"/>
      <c r="F34" s="3" t="inlineStr">
        <is>
          <t>Why</t>
        </is>
      </c>
    </row>
    <row r="35">
      <c r="A35" s="6" t="inlineStr">
        <is>
          <t>Unaided core (Tier 0+1)</t>
        </is>
      </c>
      <c r="B35" s="6" t="inlineStr">
        <is>
          <t>Ceramic, colour</t>
        </is>
      </c>
      <c r="C35" s="6">
        <f>ROUNDUP((SUM(LEXICON!E3:E4)+SUM(LEXICON!G3:G4))*(1+INPUTS!$B$13)/(INPUTS!$B$24*INPUTS!$B$25*INPUTS!$B$26),0)</f>
        <v/>
      </c>
      <c r="F35" s="8" t="inlineStr">
        <is>
          <t>300dpi colour pictograms, no tools needed, MOM-proven in a salt mine. This layer is the expensive one - unaided legibility, not vocabulary size, is what costs area.</t>
        </is>
      </c>
    </row>
    <row r="36">
      <c r="A36" s="6" t="inlineStr">
        <is>
          <t>Full lexicon, carried</t>
        </is>
      </c>
      <c r="B36" s="6" t="inlineStr">
        <is>
          <t>Titanium PCM 4pt</t>
        </is>
      </c>
      <c r="C36" s="6">
        <f>D7</f>
        <v/>
      </c>
      <c r="F36" s="8" t="inlineStr">
        <is>
          <t>Unbreakable, thin, snap-out cards, half-etch relief doubles as a printing plate.</t>
        </is>
      </c>
    </row>
    <row r="37">
      <c r="A37" s="6" t="inlineStr">
        <is>
          <t>Full lexicon, archived</t>
        </is>
      </c>
      <c r="B37" s="6" t="inlineStr">
        <is>
          <t>Ceramic microfilm</t>
        </is>
      </c>
      <c r="C37" s="6">
        <f>D10</f>
        <v/>
      </c>
      <c r="F37" s="8" t="inlineStr">
        <is>
          <t>~100x denser. Full redundancy at near-zero marginal area.</t>
        </is>
      </c>
    </row>
    <row r="38">
      <c r="A38" s="6" t="inlineStr">
        <is>
          <t>Magnifier</t>
        </is>
      </c>
      <c r="B38" s="6" t="inlineStr">
        <is>
          <t>Glass / fused silica</t>
        </is>
      </c>
      <c r="C38" s="6" t="n">
        <v>1</v>
      </c>
      <c r="F38" s="8" t="inlineStr">
        <is>
          <t>Converts the microfilm dependency from a gamble into a supplied tool.</t>
        </is>
      </c>
    </row>
    <row r="39">
      <c r="A39" s="6" t="inlineStr">
        <is>
          <t>MOM tokens</t>
        </is>
      </c>
      <c r="B39" s="6" t="inlineStr">
        <is>
          <t>Ceramic</t>
        </is>
      </c>
      <c r="C39" s="6">
        <f>INPUTS!$B$55</f>
        <v/>
      </c>
      <c r="F39" s="8" t="inlineStr">
        <is>
          <t>Points the finder at a second archive. Network topology, not an isolated deposit.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18" customWidth="1" min="4" max="4"/>
    <col width="56" customWidth="1" min="5" max="5"/>
  </cols>
  <sheetData>
    <row r="1">
      <c r="A1" s="1" t="inlineStr">
        <is>
          <t>CARD FORMAT - how the lexicon divides into carryable cards</t>
        </is>
      </c>
      <c r="B1" s="2" t="n"/>
      <c r="C1" s="2" t="n"/>
      <c r="D1" s="2" t="n"/>
      <c r="E1" s="2" t="n"/>
    </row>
    <row r="2">
      <c r="A2" s="3" t="inlineStr">
        <is>
          <t>Card format</t>
        </is>
      </c>
      <c r="B2" s="3" t="inlineStr">
        <is>
          <t>Area both sides (mm2)</t>
        </is>
      </c>
      <c r="C2" s="3" t="inlineStr">
        <is>
          <t>Entries per card</t>
        </is>
      </c>
      <c r="D2" s="3" t="inlineStr">
        <is>
          <t>Cards for whole lexicon</t>
        </is>
      </c>
      <c r="E2" s="3" t="inlineStr">
        <is>
          <t>Note</t>
        </is>
      </c>
    </row>
    <row r="3">
      <c r="A3" s="6" t="inlineStr">
        <is>
          <t>ID-1 / membership card 85.6x54</t>
        </is>
      </c>
      <c r="B3" s="6">
        <f>85.6*54*2</f>
        <v/>
      </c>
      <c r="C3" s="6">
        <f>ROUNDDOWN(B3/(LEXICON!C11/LEXICON!B6),0)</f>
        <v/>
      </c>
      <c r="D3" s="6">
        <f>ROUNDUP(LEXICON!B6/C3,0)</f>
        <v/>
      </c>
      <c r="E3" s="8" t="inlineStr">
        <is>
          <t>ISO 7810 ID-1. RECOMMENDED - the carrying unit is a topic, not a word.</t>
        </is>
      </c>
    </row>
    <row r="4">
      <c r="A4" s="6" t="inlineStr">
        <is>
          <t>Key tag ~54x30</t>
        </is>
      </c>
      <c r="B4" s="6">
        <f>54*30*2</f>
        <v/>
      </c>
      <c r="C4" s="6">
        <f>ROUNDDOWN(B4/(LEXICON!C11/LEXICON!B6),0)</f>
        <v/>
      </c>
      <c r="D4" s="6">
        <f>ROUNDUP(LEXICON!B6/C4,0)</f>
        <v/>
      </c>
      <c r="E4" s="8" t="inlineStr">
        <is>
          <t>Too few entries per card; 450+ cards is unsortable and loss-prone.</t>
        </is>
      </c>
    </row>
    <row r="5">
      <c r="A5" s="6" t="inlineStr">
        <is>
          <t>Large card 105x74 (A7)</t>
        </is>
      </c>
      <c r="B5" s="6">
        <f>105*74*2</f>
        <v/>
      </c>
      <c r="C5" s="6">
        <f>ROUNDDOWN(B5/(LEXICON!C11/LEXICON!B6),0)</f>
        <v/>
      </c>
      <c r="D5" s="6">
        <f>ROUNDUP(LEXICON!B6/C5,0)</f>
        <v/>
      </c>
      <c r="E5" s="8" t="inlineStr">
        <is>
          <t>Fewer cards, less pocketable. Good for the Tier 0 pictogram set.</t>
        </is>
      </c>
    </row>
    <row r="6">
      <c r="A6" s="6" t="inlineStr">
        <is>
          <t>One word per card</t>
        </is>
      </c>
      <c r="B6" s="6">
        <f>85.6*54*2</f>
        <v/>
      </c>
      <c r="C6" s="6" t="n">
        <v>1</v>
      </c>
      <c r="D6" s="6">
        <f>LEXICON!B6</f>
        <v/>
      </c>
      <c r="E6" s="8" t="inlineStr">
        <is>
          <t>5000 loose objects, 30-40% of area lost to edges and holes. Rejected.</t>
        </is>
      </c>
    </row>
    <row r="8">
      <c r="A8" s="12" t="inlineStr">
        <is>
          <t>DECK PHYSICALS (ID-1 in titanium)</t>
        </is>
      </c>
    </row>
    <row r="9">
      <c r="A9" s="6" t="inlineStr">
        <is>
          <t>Mass per card (g)</t>
        </is>
      </c>
      <c r="B9" s="9">
        <f>ROUND(85.6*54*INPUTS!$B$28/1000*INPUTS!$B$30,2)</f>
        <v/>
      </c>
    </row>
    <row r="10">
      <c r="A10" s="6" t="inlineStr">
        <is>
          <t>Whole-deck mass (g)</t>
        </is>
      </c>
      <c r="B10" s="9">
        <f>ROUND(B9*D3,0)</f>
        <v/>
      </c>
    </row>
    <row r="11">
      <c r="A11" s="6" t="inlineStr">
        <is>
          <t>Whole-deck thickness (mm)</t>
        </is>
      </c>
      <c r="B11" s="9">
        <f>ROUND(INPUTS!$B$28*D3,0)</f>
        <v/>
      </c>
    </row>
    <row r="12">
      <c r="A12" s="6" t="inlineStr">
        <is>
          <t>Cards you actually carry (20%)</t>
        </is>
      </c>
      <c r="B12" s="9">
        <f>ROUNDUP(D3*0.2,0)</f>
        <v/>
      </c>
    </row>
    <row r="14">
      <c r="A14" s="11" t="inlineStr">
        <is>
          <t>You never carry the whole deck - that is the point of cards. Carry the Tier 0 set plus today's topic.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FINDINGS, CAVEATS, SOURCES</t>
        </is>
      </c>
      <c r="B1" s="2" t="n"/>
    </row>
    <row r="2">
      <c r="B2" s="4" t="inlineStr">
        <is>
          <t>CORRECTION - ceramic CAN carry the full 5000 words, and pictograms belong on both media</t>
        </is>
      </c>
    </row>
    <row r="3">
      <c r="B3" t="inlineStr">
        <is>
          <t>The 0.30mm minimum-feature figure in plates/plate_profiles.py is a property of an assumed PROCESS</t>
        </is>
      </c>
    </row>
    <row r="4">
      <c r="B4" t="inlineStr">
        <is>
          <t>(hand carving / underglaze brush / coarse decal), not of ceramic itself. MOM laser-engrave the tablet and</t>
        </is>
      </c>
    </row>
    <row r="5">
      <c r="B5" t="inlineStr">
        <is>
          <t>then roller-apply glaze over it, so the mark sits in a recess under glass: no pigment bleed, no abrasion path.</t>
        </is>
      </c>
    </row>
    <row r="6">
      <c r="B6" t="inlineStr">
        <is>
          <t>That is how they reach 5 lines/mm. ACTION: split the CERAMIC profile into CERAMIC_HAND (0.30mm) and</t>
        </is>
      </c>
    </row>
    <row r="7">
      <c r="B7" t="inlineStr">
        <is>
          <t>CERAMIC_LASER (~0.05mm) in plate_profiles.py, and stop treating 0.30mm as a material constant.</t>
        </is>
      </c>
    </row>
    <row r="8">
      <c r="B8" t="inlineStr">
        <is>
          <t>Ceramic also does 300dpi colour, which titanium cannot - anodising gives interference colour, not halftone.</t>
        </is>
      </c>
    </row>
    <row r="9">
      <c r="B9" t="inlineStr">
        <is>
          <t>So ceramic should carry the RICHER pictograms and titanium the monochrome line versions. Both get pictograms.</t>
        </is>
      </c>
    </row>
    <row r="10">
      <c r="B10" t="inlineStr"/>
    </row>
    <row r="11">
      <c r="B11" s="4" t="inlineStr">
        <is>
          <t>The real trade is the magnification dependency, not resolution</t>
        </is>
      </c>
    </row>
    <row r="12">
      <c r="B12" t="inlineStr">
        <is>
          <t>Microfilm mode needs a 10x lens. For a project whose premise is 'no presumed viewer', that is a hard dependency.</t>
        </is>
      </c>
    </row>
    <row r="13">
      <c r="B13" t="inlineStr">
        <is>
          <t>Three mitigations, use all of them: (1) ship a glass or fused-silica lens in the capsule - glass itself lasts</t>
        </is>
      </c>
    </row>
    <row r="14">
      <c r="B14" t="inlineStr">
        <is>
          <t>millennia; (2) borrow the Long Now Rosetta Disk trick - a visible ramp of decreasing type that announces</t>
        </is>
      </c>
    </row>
    <row r="15">
      <c r="B15" t="inlineStr">
        <is>
          <t>'this needs magnification' and demonstrates the scale; (3) never let microfilm be load-bearing. It is</t>
        </is>
      </c>
    </row>
    <row r="16">
      <c r="B16" t="inlineStr">
        <is>
          <t>redundancy. The unaided tier stays complete on its own - the same rule already set for colour:</t>
        </is>
      </c>
    </row>
    <row r="17">
      <c r="B17" t="inlineStr">
        <is>
          <t>may differentiate, never signify.</t>
        </is>
      </c>
    </row>
    <row r="18">
      <c r="B18" t="inlineStr"/>
    </row>
    <row r="19">
      <c r="B19" s="4" t="inlineStr">
        <is>
          <t>Per-area vs per-mark still holds</t>
        </is>
      </c>
    </row>
    <row r="20">
      <c r="B20" t="inlineStr">
        <is>
          <t>PCM and ceramic decal cost by area - once tooling exists, extra detail is free. Fibre-laser marking costs by</t>
        </is>
      </c>
    </row>
    <row r="21">
      <c r="B21" t="inlineStr">
        <is>
          <t>mark: ~1.6 m2 of dense filled text is 7-13 machine-hours per set. MOM absorb this only because Workshop of</t>
        </is>
      </c>
    </row>
    <row r="22">
      <c r="B22" t="inlineStr">
        <is>
          <t>Photonics built them a purpose-made laser system - their capital cost, not ours.</t>
        </is>
      </c>
    </row>
    <row r="23">
      <c r="B23">
        <f>&gt; BUYING ceramic capacity from MOM may beat the $2,200-7,500 in-house kiln estimate until volume justifies it.</f>
        <v/>
      </c>
    </row>
    <row r="24">
      <c r="B24" t="inlineStr"/>
    </row>
    <row r="25">
      <c r="B25" s="4" t="inlineStr">
        <is>
          <t>NO STEEL - standing constraint as of 2026-09-01</t>
        </is>
      </c>
    </row>
    <row r="26">
      <c r="B26" t="inlineStr">
        <is>
          <t>Kills the 316L card-stock option AND the enamel-on-steel fast-prototype route in the materials notes.</t>
        </is>
      </c>
    </row>
    <row r="27">
      <c r="B27" t="inlineStr">
        <is>
          <t>Prototype substitute: anodised aluminium. Cheap, laser-markable, and a valve metal, so it is a true analogue</t>
        </is>
      </c>
    </row>
    <row r="28">
      <c r="B28" t="inlineStr">
        <is>
          <t>for titanium anodising trials. Not archival - prototypes only. Anything that ships is titanium or ceramic.</t>
        </is>
      </c>
    </row>
    <row r="29">
      <c r="B29" t="inlineStr"/>
    </row>
    <row r="30">
      <c r="B30" s="4" t="inlineStr">
        <is>
          <t>MOM collaboration - tokens in every capsule</t>
        </is>
      </c>
    </row>
    <row r="31">
      <c r="B31" t="inlineStr">
        <is>
          <t>Two tokens per capsule is correct design: one extractable and carryable, one that stays with the capsule.</t>
        </is>
      </c>
    </row>
    <row r="32">
      <c r="B32" t="inlineStr">
        <is>
          <t>Turns each deposit into a node pointing at another archive - network topology instead of isolated caches.</t>
        </is>
      </c>
    </row>
    <row r="33">
      <c r="B33" t="inlineStr">
        <is>
          <t>Reciprocity: submit a Remember Forward tablet into the MOM archive so the pointer runs both directions.</t>
        </is>
      </c>
    </row>
    <row r="34">
      <c r="B34" t="inlineStr">
        <is>
          <t>Tokens ship bundled with MOM tablet purchases, so buying ceramic capacity also sources tokens.</t>
        </is>
      </c>
    </row>
    <row r="35">
      <c r="B35" t="inlineStr">
        <is>
          <t>Ask Kunze about bulk token supply and about a reciprocal deposit.</t>
        </is>
      </c>
    </row>
    <row r="36">
      <c r="B36" t="inlineStr">
        <is>
          <t>CAVEAT: a pointer to Hallstatt only helps if Hallstatt survives and the finder can travel. Additive, never load-bearing.</t>
        </is>
      </c>
    </row>
    <row r="37">
      <c r="B37" t="inlineStr"/>
    </row>
    <row r="38">
      <c r="B38" s="4" t="inlineStr">
        <is>
          <t>What is actually hard</t>
        </is>
      </c>
    </row>
    <row r="39">
      <c r="B39" t="inlineStr">
        <is>
          <t>Not the manufacturing. Writing 5000 non-circular definitions inside a ~1000-word controlled vocabulary is</t>
        </is>
      </c>
    </row>
    <row r="40">
      <c r="B40" t="inlineStr">
        <is>
          <t>600,000+ characters of tightly constrained prose, and circularity is easy to introduce and hard to detect.</t>
        </is>
      </c>
    </row>
    <row r="41">
      <c r="B41" t="inlineStr">
        <is>
          <t>Needs a dependency checker: parse every definition, verify every token exists in a strictly lower tier.</t>
        </is>
      </c>
    </row>
    <row r="42">
      <c r="B42" t="inlineStr">
        <is>
          <t>Months, not weeks.</t>
        </is>
      </c>
    </row>
    <row r="43">
      <c r="B43" t="inlineStr"/>
    </row>
    <row r="44">
      <c r="B44" s="4" t="inlineStr">
        <is>
          <t>SOURCES</t>
        </is>
      </c>
    </row>
    <row r="45">
      <c r="B45" t="inlineStr">
        <is>
          <t>MOM specs: memory-of-mankind.com/how-is-information-kept-legible-for-1-million-years/</t>
        </is>
      </c>
    </row>
    <row r="46">
      <c r="B46" t="inlineStr">
        <is>
          <t xml:space="preserve">  - 20x20cm tablet, up to 5,000,000 chars (ceramic microfilm, 5 lines/mm, 10x magnifier)</t>
        </is>
      </c>
    </row>
    <row r="47">
      <c r="B47" t="inlineStr">
        <is>
          <t xml:space="preserve">  - individual-design option: min 4pt Arial, up to 50,000 chars (~20 A4 pages), photos 300dpi</t>
        </is>
      </c>
    </row>
    <row r="48">
      <c r="B48" t="inlineStr">
        <is>
          <t xml:space="preserve">  - laser engraved, then alkali/acid/temperature-resistant glaze roller-applied, stable to 1300C</t>
        </is>
      </c>
    </row>
    <row r="49">
      <c r="B49" t="inlineStr">
        <is>
          <t>MOM tablet + token product: memory-of-mankind.com/product/1-1-tablet-in-the-mom-archiv-plus-token-by-mail/</t>
        </is>
      </c>
    </row>
    <row r="50">
      <c r="B50" t="inlineStr">
        <is>
          <t>American Ceramic Society: ceramics.org/ceramic-tech-today/ceramic-tablets-may-help-preserve-the-worlds-knowledge-for-future-generations/</t>
        </is>
      </c>
    </row>
    <row r="51">
      <c r="B51" t="inlineStr">
        <is>
          <t>Laser system: wophotonics.com/news/wop-developed-laser-system-for-memory-of-mankind-project-delivered-to-vienna/</t>
        </is>
      </c>
    </row>
    <row r="52">
      <c r="B52" t="inlineStr">
        <is>
          <t>Defining vocabularies: NSM primes ~65 (Wierzbicka); Ogden Basic English 850; Swadesh 207; Longman Defining Vocabulary ~2000.</t>
        </is>
      </c>
    </row>
    <row r="53">
      <c r="B53" t="inlineStr"/>
    </row>
    <row r="54">
      <c r="B54" s="4" t="inlineStr">
        <is>
          <t>OPEN - not decided</t>
        </is>
      </c>
    </row>
    <row r="55">
      <c r="B55" t="inlineStr">
        <is>
          <t>1. Buy ceramic from MOM, or build in-house kiln capability?</t>
        </is>
      </c>
    </row>
    <row r="56">
      <c r="B56" t="inlineStr">
        <is>
          <t>2. Titanium thickness for the card deck (0.2 / 0.3 / 0.5mm) - stiffness vs deck mass.</t>
        </is>
      </c>
    </row>
    <row r="57">
      <c r="B57" t="inlineStr">
        <is>
          <t>3. Half-etch relief (printing plate) vs recessed and oxide-filled (contrast). Can one panel do both?</t>
        </is>
      </c>
    </row>
    <row r="58">
      <c r="B58" t="inlineStr">
        <is>
          <t>4. Build 500 as a proof first, or go straight to 5000?</t>
        </is>
      </c>
    </row>
    <row r="59">
      <c r="B59" t="inlineStr">
        <is>
          <t>5. Which lens ships in the capsule, and does it need its own instruction plate?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2026-09-01T17:24:11Z</dcterms:created>
  <dcterms:modified xmlns:dcterms="http://purl.org/dc/terms/" xmlns:xsi="http://www.w3.org/2001/XMLSchema-instance" xsi:type="dcterms:W3CDTF">2026-09-01T17:24:11Z</dcterms:modified>
</cp:coreProperties>
</file>